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sp32-based-iot-switch\spreadsheets\"/>
    </mc:Choice>
  </mc:AlternateContent>
  <xr:revisionPtr revIDLastSave="0" documentId="13_ncr:1_{905CCB49-87E3-412C-BDAA-757742C39841}" xr6:coauthVersionLast="47" xr6:coauthVersionMax="47" xr10:uidLastSave="{00000000-0000-0000-0000-000000000000}"/>
  <bookViews>
    <workbookView xWindow="-108" yWindow="-108" windowWidth="23256" windowHeight="12456" xr2:uid="{CC3775AC-FC4C-40EC-8B38-5333CB6F1369}"/>
  </bookViews>
  <sheets>
    <sheet name="BoM" sheetId="1" r:id="rId1"/>
    <sheet name="Power_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H4" i="2"/>
  <c r="H3" i="2"/>
  <c r="J3" i="2"/>
</calcChain>
</file>

<file path=xl/sharedStrings.xml><?xml version="1.0" encoding="utf-8"?>
<sst xmlns="http://schemas.openxmlformats.org/spreadsheetml/2006/main" count="272" uniqueCount="134">
  <si>
    <t>Device</t>
  </si>
  <si>
    <t>Description</t>
  </si>
  <si>
    <t>Buy Link</t>
  </si>
  <si>
    <t>MCU</t>
  </si>
  <si>
    <t>Power supply</t>
  </si>
  <si>
    <t>0.5A - 250 VAC</t>
  </si>
  <si>
    <t>Varistor</t>
  </si>
  <si>
    <t>10D561K</t>
  </si>
  <si>
    <t>Safety capacitor</t>
  </si>
  <si>
    <t>0.1uF - 275 VAC</t>
  </si>
  <si>
    <t>Filter capacitor</t>
  </si>
  <si>
    <t>Pitch/Size</t>
  </si>
  <si>
    <t>-</t>
  </si>
  <si>
    <t>5mm</t>
  </si>
  <si>
    <t>6.3x5.4mm</t>
  </si>
  <si>
    <t>10V 220uF</t>
  </si>
  <si>
    <t>10mm</t>
  </si>
  <si>
    <t>Block</t>
  </si>
  <si>
    <t>Resistor</t>
  </si>
  <si>
    <t>470 ohm</t>
  </si>
  <si>
    <t>Relay</t>
  </si>
  <si>
    <t>SRD-05VDC-SL-C</t>
  </si>
  <si>
    <t>5VDC 10A 250VAC</t>
  </si>
  <si>
    <t>AO3400A</t>
  </si>
  <si>
    <t>Slow Fuse</t>
  </si>
  <si>
    <t>LED</t>
  </si>
  <si>
    <t>Qty.</t>
  </si>
  <si>
    <t>SOT-23</t>
  </si>
  <si>
    <t>1N4148W</t>
  </si>
  <si>
    <t>FS Diode 75V 0.15 A</t>
  </si>
  <si>
    <t>SOD-123</t>
  </si>
  <si>
    <t>N-Channel MOSFET</t>
  </si>
  <si>
    <t>ESP32-C5-WROOM-1-N16R8</t>
  </si>
  <si>
    <t>8MB FLASH/8MB PSRAM/PCB ANTENNA</t>
  </si>
  <si>
    <t>USB</t>
  </si>
  <si>
    <t>USBLC6-2SC6</t>
  </si>
  <si>
    <t>ESD Protector</t>
  </si>
  <si>
    <t>SOT-23-5</t>
  </si>
  <si>
    <t>22 ohm</t>
  </si>
  <si>
    <t>USB Type C</t>
  </si>
  <si>
    <t>16 pin</t>
  </si>
  <si>
    <t>5.1k ohm</t>
  </si>
  <si>
    <t>Power regulator</t>
  </si>
  <si>
    <t>Red</t>
  </si>
  <si>
    <t>SPX3819M5-L-3.3</t>
  </si>
  <si>
    <t>LDO 3.3V regulator</t>
  </si>
  <si>
    <t>Ceramic capacitor</t>
  </si>
  <si>
    <t>0603</t>
  </si>
  <si>
    <t>0805</t>
  </si>
  <si>
    <t>Display</t>
  </si>
  <si>
    <t>E-Paper display</t>
  </si>
  <si>
    <t>3.71"</t>
  </si>
  <si>
    <t>MBR0530</t>
  </si>
  <si>
    <t>Schottky diode 30V 430mV 0.5A</t>
  </si>
  <si>
    <t>FPC connector</t>
  </si>
  <si>
    <t>0.5mm</t>
  </si>
  <si>
    <t>10uF 25V X7R</t>
  </si>
  <si>
    <t>100nF 25V X7R</t>
  </si>
  <si>
    <t>4.7uF 25V X7R</t>
  </si>
  <si>
    <t>10k ohm</t>
  </si>
  <si>
    <t>1 ohm</t>
  </si>
  <si>
    <t>Touch button</t>
  </si>
  <si>
    <t>SOT-23-6</t>
  </si>
  <si>
    <t>TTP223-BA6</t>
  </si>
  <si>
    <t>Touch pad detector IC</t>
  </si>
  <si>
    <t>Indicators</t>
  </si>
  <si>
    <t>Blue</t>
  </si>
  <si>
    <t>100 ohm</t>
  </si>
  <si>
    <t>https://es.aliexpress.com/item/1005008833493839.html</t>
  </si>
  <si>
    <t>https://es.aliexpress.com/item/1005007464553853.html</t>
  </si>
  <si>
    <t>https://es.aliexpress.com/item/1005007470747384.html</t>
  </si>
  <si>
    <t>https://es.aliexpress.com/item/1005005431944057.html</t>
  </si>
  <si>
    <t>https://es.aliexpress.com/item/1005006734007935.html</t>
  </si>
  <si>
    <t>https://es.aliexpress.com/item/1005007115799728.html</t>
  </si>
  <si>
    <t>https://es.aliexpress.com/item/1005010653199938.html</t>
  </si>
  <si>
    <t>https://es.aliexpress.com/item/1005006353547160.html</t>
  </si>
  <si>
    <t>https://es.aliexpress.com/item/1005005809360574.html</t>
  </si>
  <si>
    <t>https://es.aliexpress.com/item/1005005945742136.html</t>
  </si>
  <si>
    <t>https://es.aliexpress.com/item/1005006884029473.html</t>
  </si>
  <si>
    <t>Bill of Materials</t>
  </si>
  <si>
    <t>Power Budget</t>
  </si>
  <si>
    <t>Current</t>
  </si>
  <si>
    <t>Supply</t>
  </si>
  <si>
    <t>3.3V LEDs</t>
  </si>
  <si>
    <t>Touchpad IC</t>
  </si>
  <si>
    <t>mA</t>
  </si>
  <si>
    <t>1A 5V</t>
  </si>
  <si>
    <t>0.5A 3.3V</t>
  </si>
  <si>
    <t>150 ohm</t>
  </si>
  <si>
    <t>A</t>
  </si>
  <si>
    <t>5V LED</t>
  </si>
  <si>
    <t>Total Current</t>
  </si>
  <si>
    <t>%Load</t>
  </si>
  <si>
    <t>3.3V Supply</t>
  </si>
  <si>
    <t>5V Supply</t>
  </si>
  <si>
    <t>5V - 1A</t>
  </si>
  <si>
    <t>https://www.aliexpress.com/item/1005006175235171.html</t>
  </si>
  <si>
    <t>https://es.aliexpress.com/item/4000555847543.html</t>
  </si>
  <si>
    <t>3*4*2.5mm</t>
  </si>
  <si>
    <t>SMD Button</t>
  </si>
  <si>
    <t>12V 50mA 4 pin</t>
  </si>
  <si>
    <t>Connectors</t>
  </si>
  <si>
    <t>KF2EDG</t>
  </si>
  <si>
    <t>https://es.aliexpress.com/item/1005007488495840.html</t>
  </si>
  <si>
    <t>5.08mm</t>
  </si>
  <si>
    <t>HLK-5M05</t>
  </si>
  <si>
    <t>https://es.aliexpress.com/item/1005005821974016.html</t>
  </si>
  <si>
    <t>https://es.aliexpress.com/item/1005007348100430.html</t>
  </si>
  <si>
    <t>https://es.aliexpress.com/item/1005005858184704.html</t>
  </si>
  <si>
    <t>GDEY037T03</t>
  </si>
  <si>
    <t>NR3015</t>
  </si>
  <si>
    <t>10uH</t>
  </si>
  <si>
    <t>https://es.aliexpress.com/item/1005011794990023.html</t>
  </si>
  <si>
    <t>1M ohm</t>
  </si>
  <si>
    <t>https://es.aliexpress.com/item/1005006818638048.html</t>
  </si>
  <si>
    <t>24 pin Drawer Top</t>
  </si>
  <si>
    <t>https://es.aliexpress.com/item/1005002538662756.html</t>
  </si>
  <si>
    <t>https://es.aliexpress.com/item/32913238799.html</t>
  </si>
  <si>
    <t>300V 10A 3P Straight</t>
  </si>
  <si>
    <t>Female Vertically</t>
  </si>
  <si>
    <t>https://es.aliexpress.com/item/1005006283746201.html</t>
  </si>
  <si>
    <t>2.54mm</t>
  </si>
  <si>
    <t>Pin Socket</t>
  </si>
  <si>
    <t>Pin Header</t>
  </si>
  <si>
    <t>Inductor</t>
  </si>
  <si>
    <t>7.5mm</t>
  </si>
  <si>
    <t>https://es.aliexpress.com/item/1005002576145968.html</t>
  </si>
  <si>
    <t>https://es.aliexpress.com/item/33044078876.html</t>
  </si>
  <si>
    <t>SMD Female PH5 2x3</t>
  </si>
  <si>
    <t>SMD  Male B3.5 2x3</t>
  </si>
  <si>
    <t>1uF 25V X7R</t>
  </si>
  <si>
    <t>10pF</t>
  </si>
  <si>
    <t>30pF</t>
  </si>
  <si>
    <t>https://es.aliexpress.com/item/1005006186888242.html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</si>
</sst>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0" fillId="5" borderId="5" xfId="0" applyFill="1" applyBorder="1"/>
    <xf numFmtId="0" fontId="0" fillId="5" borderId="10" xfId="0" applyFill="1" applyBorder="1"/>
    <xf numFmtId="0" fontId="0" fillId="4" borderId="8" xfId="0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2" borderId="16" xfId="0" applyFont="1" applyFill="1" applyBorder="1"/>
    <xf numFmtId="0" fontId="6" fillId="2" borderId="11" xfId="0" applyFont="1" applyFill="1" applyBorder="1"/>
    <xf numFmtId="0" fontId="0" fillId="4" borderId="9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4" borderId="7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49" fontId="0" fillId="0" borderId="0" xfId="3" applyNumberFormat="1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0" borderId="13" xfId="0" applyFont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9" fontId="0" fillId="4" borderId="15" xfId="2" applyFont="1" applyFill="1" applyBorder="1" applyAlignment="1">
      <alignment horizontal="center"/>
    </xf>
    <xf numFmtId="9" fontId="0" fillId="4" borderId="3" xfId="2" applyFont="1" applyFill="1" applyBorder="1" applyAlignment="1">
      <alignment horizontal="center"/>
    </xf>
    <xf numFmtId="9" fontId="0" fillId="5" borderId="2" xfId="2" applyFont="1" applyFill="1" applyBorder="1" applyAlignment="1">
      <alignment horizontal="center"/>
    </xf>
    <xf numFmtId="9" fontId="0" fillId="5" borderId="3" xfId="2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</cellXfs>
  <cellStyles count="4">
    <cellStyle name="Hipervínculo" xfId="1" builtinId="8"/>
    <cellStyle name="Moneda" xfId="3" builtinId="4"/>
    <cellStyle name="Normal" xfId="0" builtinId="0"/>
    <cellStyle name="Porcentaje" xfId="2" builtinId="5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8682C9-7073-4D8E-BACA-5BA8A3A0B3B2}" name="Tabla2" displayName="Tabla2" ref="A2:F51" totalsRowShown="0" headerRowDxfId="7" dataDxfId="6">
  <autoFilter ref="A2:F51" xr:uid="{678682C9-7073-4D8E-BACA-5BA8A3A0B3B2}"/>
  <sortState xmlns:xlrd2="http://schemas.microsoft.com/office/spreadsheetml/2017/richdata2" ref="A3:F51">
    <sortCondition ref="B2:B51"/>
  </sortState>
  <tableColumns count="6">
    <tableColumn id="1" xr3:uid="{9C47540A-B8FB-48F9-B274-FADB515E3B8A}" name="Block" dataDxfId="5"/>
    <tableColumn id="2" xr3:uid="{AEE09013-DB7E-4B4F-B811-2FA0E757278A}" name="Device" dataDxfId="4"/>
    <tableColumn id="3" xr3:uid="{6ADDBF51-E623-46A1-88A7-B7171D51A152}" name="Description" dataDxfId="3"/>
    <tableColumn id="7" xr3:uid="{69C1CA31-4087-4C1E-97B5-FA56B1DA059F}" name="Qty." dataDxfId="2"/>
    <tableColumn id="4" xr3:uid="{50842206-03F4-4B5B-B13E-D3FC01E5C61E}" name="Buy Link" dataDxfId="1"/>
    <tableColumn id="5" xr3:uid="{784F2C41-07A2-452C-88A8-AB57AEF56A22}" name="Pitch/Siz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.aliexpress.com/item/1005007470747384.html" TargetMode="External"/><Relationship Id="rId18" Type="http://schemas.openxmlformats.org/officeDocument/2006/relationships/hyperlink" Target="https://es.aliexpress.com/item/1005005945742136.html" TargetMode="External"/><Relationship Id="rId26" Type="http://schemas.openxmlformats.org/officeDocument/2006/relationships/hyperlink" Target="https://es.aliexpress.com/item/1005006734007935.html" TargetMode="External"/><Relationship Id="rId39" Type="http://schemas.openxmlformats.org/officeDocument/2006/relationships/hyperlink" Target="https://es.aliexpress.com/item/1005007464553853.html" TargetMode="External"/><Relationship Id="rId21" Type="http://schemas.openxmlformats.org/officeDocument/2006/relationships/hyperlink" Target="https://es.aliexpress.com/item/1005006884029473.html" TargetMode="External"/><Relationship Id="rId34" Type="http://schemas.openxmlformats.org/officeDocument/2006/relationships/hyperlink" Target="https://es.aliexpress.com/item/1005006734007935.html" TargetMode="External"/><Relationship Id="rId42" Type="http://schemas.openxmlformats.org/officeDocument/2006/relationships/hyperlink" Target="https://es.aliexpress.com/item/1005006283746201.html" TargetMode="External"/><Relationship Id="rId47" Type="http://schemas.openxmlformats.org/officeDocument/2006/relationships/hyperlink" Target="https://es.aliexpress.com/item/1005006186888242.html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es.aliexpress.com/item/1005010653199938.html" TargetMode="External"/><Relationship Id="rId2" Type="http://schemas.openxmlformats.org/officeDocument/2006/relationships/hyperlink" Target="https://www.aliexpress.com/item/1005006175235171.html" TargetMode="External"/><Relationship Id="rId16" Type="http://schemas.openxmlformats.org/officeDocument/2006/relationships/hyperlink" Target="https://es.aliexpress.com/item/1005007464553853.html" TargetMode="External"/><Relationship Id="rId29" Type="http://schemas.openxmlformats.org/officeDocument/2006/relationships/hyperlink" Target="https://es.aliexpress.com/item/1005005431944057.html" TargetMode="External"/><Relationship Id="rId11" Type="http://schemas.openxmlformats.org/officeDocument/2006/relationships/hyperlink" Target="https://es.aliexpress.com/item/1005006734007935.html" TargetMode="External"/><Relationship Id="rId24" Type="http://schemas.openxmlformats.org/officeDocument/2006/relationships/hyperlink" Target="https://es.aliexpress.com/item/1005005431944057.html" TargetMode="External"/><Relationship Id="rId32" Type="http://schemas.openxmlformats.org/officeDocument/2006/relationships/hyperlink" Target="https://es.aliexpress.com/item/1005007470747384.html" TargetMode="External"/><Relationship Id="rId37" Type="http://schemas.openxmlformats.org/officeDocument/2006/relationships/hyperlink" Target="https://es.aliexpress.com/item/1005007470747384.html" TargetMode="External"/><Relationship Id="rId40" Type="http://schemas.openxmlformats.org/officeDocument/2006/relationships/hyperlink" Target="https://es.aliexpress.com/item/32913238799.html" TargetMode="External"/><Relationship Id="rId45" Type="http://schemas.openxmlformats.org/officeDocument/2006/relationships/hyperlink" Target="https://es.aliexpress.com/item/33044078876.html" TargetMode="External"/><Relationship Id="rId5" Type="http://schemas.openxmlformats.org/officeDocument/2006/relationships/hyperlink" Target="https://es.aliexpress.com/item/1005006734007935.html" TargetMode="External"/><Relationship Id="rId15" Type="http://schemas.openxmlformats.org/officeDocument/2006/relationships/hyperlink" Target="https://es.aliexpress.com/item/1005007470747384.html" TargetMode="External"/><Relationship Id="rId23" Type="http://schemas.openxmlformats.org/officeDocument/2006/relationships/hyperlink" Target="https://es.aliexpress.com/item/1005006734007935.html" TargetMode="External"/><Relationship Id="rId28" Type="http://schemas.openxmlformats.org/officeDocument/2006/relationships/hyperlink" Target="https://es.aliexpress.com/item/1005006734007935.html" TargetMode="External"/><Relationship Id="rId36" Type="http://schemas.openxmlformats.org/officeDocument/2006/relationships/hyperlink" Target="https://es.aliexpress.com/item/4000555847543.html" TargetMode="External"/><Relationship Id="rId49" Type="http://schemas.openxmlformats.org/officeDocument/2006/relationships/hyperlink" Target="https://es.aliexpress.com/item/1005007115799728.html" TargetMode="External"/><Relationship Id="rId10" Type="http://schemas.openxmlformats.org/officeDocument/2006/relationships/hyperlink" Target="https://es.aliexpress.com/item/1005006353547160.html" TargetMode="External"/><Relationship Id="rId19" Type="http://schemas.openxmlformats.org/officeDocument/2006/relationships/hyperlink" Target="https://es.aliexpress.com/item/1005005945742136.html" TargetMode="External"/><Relationship Id="rId31" Type="http://schemas.openxmlformats.org/officeDocument/2006/relationships/hyperlink" Target="https://es.aliexpress.com/item/1005007470747384.html" TargetMode="External"/><Relationship Id="rId44" Type="http://schemas.openxmlformats.org/officeDocument/2006/relationships/hyperlink" Target="https://es.aliexpress.com/item/1005007464553853.html" TargetMode="External"/><Relationship Id="rId4" Type="http://schemas.openxmlformats.org/officeDocument/2006/relationships/hyperlink" Target="https://es.aliexpress.com/item/1005005431944057.html" TargetMode="External"/><Relationship Id="rId9" Type="http://schemas.openxmlformats.org/officeDocument/2006/relationships/hyperlink" Target="https://es.aliexpress.com/item/1005006734007935.html" TargetMode="External"/><Relationship Id="rId14" Type="http://schemas.openxmlformats.org/officeDocument/2006/relationships/hyperlink" Target="https://es.aliexpress.com/item/1005007464553853.html" TargetMode="External"/><Relationship Id="rId22" Type="http://schemas.openxmlformats.org/officeDocument/2006/relationships/hyperlink" Target="https://es.aliexpress.com/item/1005007470747384.html" TargetMode="External"/><Relationship Id="rId27" Type="http://schemas.openxmlformats.org/officeDocument/2006/relationships/hyperlink" Target="https://es.aliexpress.com/item/1005006734007935.html" TargetMode="External"/><Relationship Id="rId30" Type="http://schemas.openxmlformats.org/officeDocument/2006/relationships/hyperlink" Target="https://es.aliexpress.com/item/1005006734007935.html" TargetMode="External"/><Relationship Id="rId35" Type="http://schemas.openxmlformats.org/officeDocument/2006/relationships/hyperlink" Target="https://es.aliexpress.com/item/1005007488495840.html" TargetMode="External"/><Relationship Id="rId43" Type="http://schemas.openxmlformats.org/officeDocument/2006/relationships/hyperlink" Target="https://es.aliexpress.com/item/1005002576145968.html" TargetMode="External"/><Relationship Id="rId48" Type="http://schemas.openxmlformats.org/officeDocument/2006/relationships/hyperlink" Target="https://es.aliexpress.com/item/1005006818638048.html" TargetMode="External"/><Relationship Id="rId8" Type="http://schemas.openxmlformats.org/officeDocument/2006/relationships/hyperlink" Target="https://es.aliexpress.com/item/1005007348100430.html" TargetMode="External"/><Relationship Id="rId51" Type="http://schemas.openxmlformats.org/officeDocument/2006/relationships/table" Target="../tables/table1.xml"/><Relationship Id="rId3" Type="http://schemas.openxmlformats.org/officeDocument/2006/relationships/hyperlink" Target="https://es.aliexpress.com/item/1005002538662756.html" TargetMode="External"/><Relationship Id="rId12" Type="http://schemas.openxmlformats.org/officeDocument/2006/relationships/hyperlink" Target="https://es.aliexpress.com/item/1005005809360574.html" TargetMode="External"/><Relationship Id="rId17" Type="http://schemas.openxmlformats.org/officeDocument/2006/relationships/hyperlink" Target="https://es.aliexpress.com/item/1005007115799728.html" TargetMode="External"/><Relationship Id="rId25" Type="http://schemas.openxmlformats.org/officeDocument/2006/relationships/hyperlink" Target="https://es.aliexpress.com/item/1005005431944057.html" TargetMode="External"/><Relationship Id="rId33" Type="http://schemas.openxmlformats.org/officeDocument/2006/relationships/hyperlink" Target="https://es.aliexpress.com/item/1005006734007935.html" TargetMode="External"/><Relationship Id="rId38" Type="http://schemas.openxmlformats.org/officeDocument/2006/relationships/hyperlink" Target="https://es.aliexpress.com/item/1005005858184704.html" TargetMode="External"/><Relationship Id="rId46" Type="http://schemas.openxmlformats.org/officeDocument/2006/relationships/hyperlink" Target="https://es.aliexpress.com/item/1005006186888242.html" TargetMode="External"/><Relationship Id="rId20" Type="http://schemas.openxmlformats.org/officeDocument/2006/relationships/hyperlink" Target="https://es.aliexpress.com/item/1005011794990023.html" TargetMode="External"/><Relationship Id="rId41" Type="http://schemas.openxmlformats.org/officeDocument/2006/relationships/hyperlink" Target="https://es.aliexpress.com/item/1005006283746201.html" TargetMode="External"/><Relationship Id="rId1" Type="http://schemas.openxmlformats.org/officeDocument/2006/relationships/hyperlink" Target="https://es.aliexpress.com/item/1005008833493839.html" TargetMode="External"/><Relationship Id="rId6" Type="http://schemas.openxmlformats.org/officeDocument/2006/relationships/hyperlink" Target="https://es.aliexpress.com/item/100500582197401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1F6F-4034-4434-80DF-F3AA51FE41B1}">
  <dimension ref="A1:F51"/>
  <sheetViews>
    <sheetView tabSelected="1" zoomScaleNormal="100" workbookViewId="0">
      <selection activeCell="H6" sqref="H6"/>
    </sheetView>
  </sheetViews>
  <sheetFormatPr baseColWidth="10" defaultRowHeight="14.4" x14ac:dyDescent="0.3"/>
  <cols>
    <col min="1" max="1" width="13.6640625" bestFit="1" customWidth="1"/>
    <col min="2" max="2" width="24.5546875" bestFit="1" customWidth="1"/>
    <col min="3" max="3" width="33.5546875" bestFit="1" customWidth="1"/>
    <col min="4" max="4" width="8.88671875" bestFit="1" customWidth="1"/>
    <col min="5" max="5" width="49.44140625" bestFit="1" customWidth="1"/>
    <col min="6" max="6" width="14" bestFit="1" customWidth="1"/>
  </cols>
  <sheetData>
    <row r="1" spans="1:6" x14ac:dyDescent="0.3">
      <c r="A1" s="24" t="s">
        <v>79</v>
      </c>
      <c r="B1" s="24"/>
      <c r="C1" s="24"/>
      <c r="D1" s="24"/>
      <c r="E1" s="24"/>
      <c r="F1" s="24"/>
    </row>
    <row r="2" spans="1:6" x14ac:dyDescent="0.3">
      <c r="A2" s="1" t="s">
        <v>17</v>
      </c>
      <c r="B2" s="1" t="s">
        <v>0</v>
      </c>
      <c r="C2" s="1" t="s">
        <v>1</v>
      </c>
      <c r="D2" s="1" t="s">
        <v>26</v>
      </c>
      <c r="E2" s="1" t="s">
        <v>2</v>
      </c>
      <c r="F2" s="1" t="s">
        <v>11</v>
      </c>
    </row>
    <row r="3" spans="1:6" x14ac:dyDescent="0.3">
      <c r="A3" s="2" t="s">
        <v>4</v>
      </c>
      <c r="B3" s="2" t="s">
        <v>7</v>
      </c>
      <c r="C3" s="1" t="s">
        <v>6</v>
      </c>
      <c r="D3" s="1">
        <v>1</v>
      </c>
      <c r="E3" s="3" t="s">
        <v>126</v>
      </c>
      <c r="F3" s="1" t="s">
        <v>125</v>
      </c>
    </row>
    <row r="4" spans="1:6" x14ac:dyDescent="0.3">
      <c r="A4" s="1" t="s">
        <v>20</v>
      </c>
      <c r="B4" s="1" t="s">
        <v>28</v>
      </c>
      <c r="C4" s="1" t="s">
        <v>29</v>
      </c>
      <c r="D4" s="1">
        <v>1</v>
      </c>
      <c r="E4" s="3" t="s">
        <v>74</v>
      </c>
      <c r="F4" s="1" t="s">
        <v>30</v>
      </c>
    </row>
    <row r="5" spans="1:6" x14ac:dyDescent="0.3">
      <c r="A5" s="1" t="s">
        <v>49</v>
      </c>
      <c r="B5" s="1" t="s">
        <v>23</v>
      </c>
      <c r="C5" s="1" t="s">
        <v>31</v>
      </c>
      <c r="D5" s="1">
        <v>1</v>
      </c>
      <c r="E5" s="3" t="s">
        <v>73</v>
      </c>
      <c r="F5" s="1" t="s">
        <v>27</v>
      </c>
    </row>
    <row r="6" spans="1:6" x14ac:dyDescent="0.3">
      <c r="A6" s="1" t="s">
        <v>20</v>
      </c>
      <c r="B6" s="1" t="s">
        <v>23</v>
      </c>
      <c r="C6" s="1" t="s">
        <v>31</v>
      </c>
      <c r="D6" s="1">
        <v>1</v>
      </c>
      <c r="E6" s="3" t="s">
        <v>73</v>
      </c>
      <c r="F6" s="1" t="s">
        <v>27</v>
      </c>
    </row>
    <row r="7" spans="1:6" x14ac:dyDescent="0.3">
      <c r="A7" s="1" t="s">
        <v>49</v>
      </c>
      <c r="B7" s="1" t="s">
        <v>46</v>
      </c>
      <c r="C7" s="1" t="s">
        <v>130</v>
      </c>
      <c r="D7" s="1">
        <v>8</v>
      </c>
      <c r="E7" s="3" t="s">
        <v>69</v>
      </c>
      <c r="F7" s="4" t="s">
        <v>47</v>
      </c>
    </row>
    <row r="8" spans="1:6" x14ac:dyDescent="0.3">
      <c r="A8" s="1" t="s">
        <v>49</v>
      </c>
      <c r="B8" s="1" t="s">
        <v>46</v>
      </c>
      <c r="C8" s="1" t="s">
        <v>58</v>
      </c>
      <c r="D8" s="1">
        <v>2</v>
      </c>
      <c r="E8" s="3" t="s">
        <v>69</v>
      </c>
      <c r="F8" s="4" t="s">
        <v>48</v>
      </c>
    </row>
    <row r="9" spans="1:6" x14ac:dyDescent="0.3">
      <c r="A9" s="1" t="s">
        <v>3</v>
      </c>
      <c r="B9" s="1" t="s">
        <v>46</v>
      </c>
      <c r="C9" s="1" t="s">
        <v>57</v>
      </c>
      <c r="D9" s="1">
        <v>1</v>
      </c>
      <c r="E9" s="3" t="s">
        <v>70</v>
      </c>
      <c r="F9" s="4" t="s">
        <v>47</v>
      </c>
    </row>
    <row r="10" spans="1:6" x14ac:dyDescent="0.3">
      <c r="A10" s="1" t="s">
        <v>3</v>
      </c>
      <c r="B10" s="1" t="s">
        <v>46</v>
      </c>
      <c r="C10" s="1" t="s">
        <v>57</v>
      </c>
      <c r="D10" s="1">
        <v>2</v>
      </c>
      <c r="E10" s="3" t="s">
        <v>70</v>
      </c>
      <c r="F10" s="4" t="s">
        <v>47</v>
      </c>
    </row>
    <row r="11" spans="1:6" x14ac:dyDescent="0.3">
      <c r="A11" s="1" t="s">
        <v>3</v>
      </c>
      <c r="B11" s="1" t="s">
        <v>46</v>
      </c>
      <c r="C11" s="1" t="s">
        <v>56</v>
      </c>
      <c r="D11" s="1">
        <v>1</v>
      </c>
      <c r="E11" s="3" t="s">
        <v>69</v>
      </c>
      <c r="F11" s="4" t="s">
        <v>48</v>
      </c>
    </row>
    <row r="12" spans="1:6" x14ac:dyDescent="0.3">
      <c r="A12" s="1" t="s">
        <v>3</v>
      </c>
      <c r="B12" s="1" t="s">
        <v>46</v>
      </c>
      <c r="C12" s="1" t="s">
        <v>130</v>
      </c>
      <c r="D12" s="1">
        <v>1</v>
      </c>
      <c r="E12" s="3" t="s">
        <v>70</v>
      </c>
      <c r="F12" s="4" t="s">
        <v>47</v>
      </c>
    </row>
    <row r="13" spans="1:6" x14ac:dyDescent="0.3">
      <c r="A13" s="1" t="s">
        <v>42</v>
      </c>
      <c r="B13" s="1" t="s">
        <v>46</v>
      </c>
      <c r="C13" s="1" t="s">
        <v>57</v>
      </c>
      <c r="D13" s="1">
        <v>1</v>
      </c>
      <c r="E13" s="3" t="s">
        <v>70</v>
      </c>
      <c r="F13" s="4" t="s">
        <v>47</v>
      </c>
    </row>
    <row r="14" spans="1:6" x14ac:dyDescent="0.3">
      <c r="A14" s="1" t="s">
        <v>42</v>
      </c>
      <c r="B14" s="1" t="s">
        <v>46</v>
      </c>
      <c r="C14" s="1" t="s">
        <v>56</v>
      </c>
      <c r="D14" s="1">
        <v>2</v>
      </c>
      <c r="E14" s="3" t="s">
        <v>69</v>
      </c>
      <c r="F14" s="4" t="s">
        <v>48</v>
      </c>
    </row>
    <row r="15" spans="1:6" x14ac:dyDescent="0.3">
      <c r="A15" s="1" t="s">
        <v>61</v>
      </c>
      <c r="B15" s="1" t="s">
        <v>46</v>
      </c>
      <c r="C15" s="1" t="s">
        <v>57</v>
      </c>
      <c r="D15" s="1">
        <v>1</v>
      </c>
      <c r="E15" s="3" t="s">
        <v>70</v>
      </c>
      <c r="F15" s="4" t="s">
        <v>47</v>
      </c>
    </row>
    <row r="16" spans="1:6" x14ac:dyDescent="0.3">
      <c r="A16" s="1" t="s">
        <v>61</v>
      </c>
      <c r="B16" s="1" t="s">
        <v>46</v>
      </c>
      <c r="C16" s="1" t="s">
        <v>131</v>
      </c>
      <c r="D16" s="1">
        <v>1</v>
      </c>
      <c r="E16" s="3" t="s">
        <v>133</v>
      </c>
      <c r="F16" s="4" t="s">
        <v>47</v>
      </c>
    </row>
    <row r="17" spans="1:6" x14ac:dyDescent="0.3">
      <c r="A17" s="1" t="s">
        <v>61</v>
      </c>
      <c r="B17" s="1" t="s">
        <v>46</v>
      </c>
      <c r="C17" s="1" t="s">
        <v>132</v>
      </c>
      <c r="D17" s="1">
        <v>1</v>
      </c>
      <c r="E17" s="3" t="s">
        <v>133</v>
      </c>
      <c r="F17" s="4" t="s">
        <v>47</v>
      </c>
    </row>
    <row r="18" spans="1:6" x14ac:dyDescent="0.3">
      <c r="A18" s="1" t="s">
        <v>34</v>
      </c>
      <c r="B18" s="1" t="s">
        <v>46</v>
      </c>
      <c r="C18" s="1" t="s">
        <v>57</v>
      </c>
      <c r="D18" s="1">
        <v>1</v>
      </c>
      <c r="E18" s="3" t="s">
        <v>70</v>
      </c>
      <c r="F18" s="4" t="s">
        <v>47</v>
      </c>
    </row>
    <row r="19" spans="1:6" x14ac:dyDescent="0.3">
      <c r="A19" s="1" t="s">
        <v>3</v>
      </c>
      <c r="B19" s="1" t="s">
        <v>32</v>
      </c>
      <c r="C19" s="1" t="s">
        <v>33</v>
      </c>
      <c r="D19" s="1">
        <v>1</v>
      </c>
      <c r="E19" s="3" t="s">
        <v>68</v>
      </c>
      <c r="F19" s="1" t="s">
        <v>12</v>
      </c>
    </row>
    <row r="20" spans="1:6" x14ac:dyDescent="0.3">
      <c r="A20" s="2" t="s">
        <v>4</v>
      </c>
      <c r="B20" s="1" t="s">
        <v>10</v>
      </c>
      <c r="C20" s="1" t="s">
        <v>15</v>
      </c>
      <c r="D20" s="1">
        <v>1</v>
      </c>
      <c r="E20" s="3" t="s">
        <v>127</v>
      </c>
      <c r="F20" s="1" t="s">
        <v>14</v>
      </c>
    </row>
    <row r="21" spans="1:6" x14ac:dyDescent="0.3">
      <c r="A21" s="1" t="s">
        <v>49</v>
      </c>
      <c r="B21" s="1" t="s">
        <v>54</v>
      </c>
      <c r="C21" s="1" t="s">
        <v>115</v>
      </c>
      <c r="D21" s="1">
        <v>1</v>
      </c>
      <c r="E21" s="3" t="s">
        <v>114</v>
      </c>
      <c r="F21" s="1" t="s">
        <v>55</v>
      </c>
    </row>
    <row r="22" spans="1:6" x14ac:dyDescent="0.3">
      <c r="A22" s="1" t="s">
        <v>49</v>
      </c>
      <c r="B22" s="1" t="s">
        <v>109</v>
      </c>
      <c r="C22" s="1" t="s">
        <v>50</v>
      </c>
      <c r="D22" s="1">
        <v>1</v>
      </c>
      <c r="E22" s="3" t="s">
        <v>108</v>
      </c>
      <c r="F22" s="1" t="s">
        <v>51</v>
      </c>
    </row>
    <row r="23" spans="1:6" x14ac:dyDescent="0.3">
      <c r="A23" s="2" t="s">
        <v>4</v>
      </c>
      <c r="B23" s="2" t="s">
        <v>105</v>
      </c>
      <c r="C23" s="1" t="s">
        <v>95</v>
      </c>
      <c r="D23" s="1">
        <v>1</v>
      </c>
      <c r="E23" s="3" t="s">
        <v>96</v>
      </c>
      <c r="F23" s="1" t="s">
        <v>12</v>
      </c>
    </row>
    <row r="24" spans="1:6" x14ac:dyDescent="0.3">
      <c r="A24" s="1" t="s">
        <v>49</v>
      </c>
      <c r="B24" s="1" t="s">
        <v>124</v>
      </c>
      <c r="C24" s="1" t="s">
        <v>111</v>
      </c>
      <c r="D24" s="1">
        <v>1</v>
      </c>
      <c r="E24" s="3" t="s">
        <v>112</v>
      </c>
      <c r="F24" s="1" t="s">
        <v>110</v>
      </c>
    </row>
    <row r="25" spans="1:6" x14ac:dyDescent="0.3">
      <c r="A25" s="1" t="s">
        <v>101</v>
      </c>
      <c r="B25" s="1" t="s">
        <v>102</v>
      </c>
      <c r="C25" s="1" t="s">
        <v>118</v>
      </c>
      <c r="D25" s="1">
        <v>1</v>
      </c>
      <c r="E25" s="3" t="s">
        <v>103</v>
      </c>
      <c r="F25" s="1" t="s">
        <v>104</v>
      </c>
    </row>
    <row r="26" spans="1:6" x14ac:dyDescent="0.3">
      <c r="A26" s="1" t="s">
        <v>65</v>
      </c>
      <c r="B26" s="1" t="s">
        <v>25</v>
      </c>
      <c r="C26" s="1" t="s">
        <v>66</v>
      </c>
      <c r="D26" s="1">
        <v>2</v>
      </c>
      <c r="E26" s="3" t="s">
        <v>71</v>
      </c>
      <c r="F26" s="1">
        <v>1206</v>
      </c>
    </row>
    <row r="27" spans="1:6" x14ac:dyDescent="0.3">
      <c r="A27" s="1" t="s">
        <v>65</v>
      </c>
      <c r="B27" s="1" t="s">
        <v>25</v>
      </c>
      <c r="C27" s="1" t="s">
        <v>43</v>
      </c>
      <c r="D27" s="1">
        <v>1</v>
      </c>
      <c r="E27" s="3" t="s">
        <v>71</v>
      </c>
      <c r="F27" s="1">
        <v>1206</v>
      </c>
    </row>
    <row r="28" spans="1:6" x14ac:dyDescent="0.3">
      <c r="A28" s="1" t="s">
        <v>42</v>
      </c>
      <c r="B28" s="1" t="s">
        <v>25</v>
      </c>
      <c r="C28" s="1" t="s">
        <v>43</v>
      </c>
      <c r="D28" s="1">
        <v>1</v>
      </c>
      <c r="E28" s="3" t="s">
        <v>71</v>
      </c>
      <c r="F28" s="1">
        <v>1206</v>
      </c>
    </row>
    <row r="29" spans="1:6" x14ac:dyDescent="0.3">
      <c r="A29" s="2" t="s">
        <v>4</v>
      </c>
      <c r="B29" s="1" t="s">
        <v>25</v>
      </c>
      <c r="C29" s="1" t="s">
        <v>43</v>
      </c>
      <c r="D29" s="1">
        <v>1</v>
      </c>
      <c r="E29" s="3" t="s">
        <v>71</v>
      </c>
      <c r="F29" s="1">
        <v>1206</v>
      </c>
    </row>
    <row r="30" spans="1:6" x14ac:dyDescent="0.3">
      <c r="A30" s="1" t="s">
        <v>49</v>
      </c>
      <c r="B30" s="1" t="s">
        <v>52</v>
      </c>
      <c r="C30" s="1" t="s">
        <v>53</v>
      </c>
      <c r="D30" s="1">
        <v>3</v>
      </c>
      <c r="E30" s="3" t="s">
        <v>77</v>
      </c>
      <c r="F30" s="1" t="s">
        <v>30</v>
      </c>
    </row>
    <row r="31" spans="1:6" x14ac:dyDescent="0.3">
      <c r="A31" s="1" t="s">
        <v>42</v>
      </c>
      <c r="B31" s="1" t="s">
        <v>52</v>
      </c>
      <c r="C31" s="1" t="s">
        <v>53</v>
      </c>
      <c r="D31" s="1">
        <v>1</v>
      </c>
      <c r="E31" s="3" t="s">
        <v>77</v>
      </c>
      <c r="F31" s="1" t="s">
        <v>30</v>
      </c>
    </row>
    <row r="32" spans="1:6" x14ac:dyDescent="0.3">
      <c r="A32" s="1" t="s">
        <v>101</v>
      </c>
      <c r="B32" s="1" t="s">
        <v>123</v>
      </c>
      <c r="C32" s="1" t="s">
        <v>129</v>
      </c>
      <c r="D32" s="1">
        <v>1</v>
      </c>
      <c r="E32" s="3" t="s">
        <v>120</v>
      </c>
      <c r="F32" s="1" t="s">
        <v>121</v>
      </c>
    </row>
    <row r="33" spans="1:6" x14ac:dyDescent="0.3">
      <c r="A33" s="1" t="s">
        <v>101</v>
      </c>
      <c r="B33" s="1" t="s">
        <v>122</v>
      </c>
      <c r="C33" s="1" t="s">
        <v>128</v>
      </c>
      <c r="D33" s="1">
        <v>1</v>
      </c>
      <c r="E33" s="3" t="s">
        <v>120</v>
      </c>
      <c r="F33" s="1" t="s">
        <v>121</v>
      </c>
    </row>
    <row r="34" spans="1:6" x14ac:dyDescent="0.3">
      <c r="A34" s="1" t="s">
        <v>49</v>
      </c>
      <c r="B34" s="1" t="s">
        <v>18</v>
      </c>
      <c r="C34" s="1" t="s">
        <v>60</v>
      </c>
      <c r="D34" s="1">
        <v>2</v>
      </c>
      <c r="E34" s="3" t="s">
        <v>72</v>
      </c>
      <c r="F34" s="23" t="s">
        <v>48</v>
      </c>
    </row>
    <row r="35" spans="1:6" x14ac:dyDescent="0.3">
      <c r="A35" s="1" t="s">
        <v>49</v>
      </c>
      <c r="B35" s="1" t="s">
        <v>18</v>
      </c>
      <c r="C35" s="1" t="s">
        <v>113</v>
      </c>
      <c r="D35" s="1">
        <v>1</v>
      </c>
      <c r="E35" s="3" t="s">
        <v>72</v>
      </c>
      <c r="F35" s="23" t="s">
        <v>48</v>
      </c>
    </row>
    <row r="36" spans="1:6" x14ac:dyDescent="0.3">
      <c r="A36" s="1" t="s">
        <v>65</v>
      </c>
      <c r="B36" s="1" t="s">
        <v>18</v>
      </c>
      <c r="C36" s="1" t="s">
        <v>67</v>
      </c>
      <c r="D36" s="1">
        <v>2</v>
      </c>
      <c r="E36" s="3" t="s">
        <v>72</v>
      </c>
      <c r="F36" s="23" t="s">
        <v>48</v>
      </c>
    </row>
    <row r="37" spans="1:6" x14ac:dyDescent="0.3">
      <c r="A37" s="1" t="s">
        <v>3</v>
      </c>
      <c r="B37" s="1" t="s">
        <v>18</v>
      </c>
      <c r="C37" s="1" t="s">
        <v>59</v>
      </c>
      <c r="D37" s="1">
        <v>2</v>
      </c>
      <c r="E37" s="3" t="s">
        <v>72</v>
      </c>
      <c r="F37" s="23" t="s">
        <v>48</v>
      </c>
    </row>
    <row r="38" spans="1:6" x14ac:dyDescent="0.3">
      <c r="A38" s="1" t="s">
        <v>42</v>
      </c>
      <c r="B38" s="1" t="s">
        <v>18</v>
      </c>
      <c r="C38" s="1" t="s">
        <v>88</v>
      </c>
      <c r="D38" s="1">
        <v>1</v>
      </c>
      <c r="E38" s="3" t="s">
        <v>72</v>
      </c>
      <c r="F38" s="23" t="s">
        <v>48</v>
      </c>
    </row>
    <row r="39" spans="1:6" x14ac:dyDescent="0.3">
      <c r="A39" s="2" t="s">
        <v>4</v>
      </c>
      <c r="B39" s="1" t="s">
        <v>18</v>
      </c>
      <c r="C39" s="1" t="s">
        <v>19</v>
      </c>
      <c r="D39" s="1">
        <v>1</v>
      </c>
      <c r="E39" s="3" t="s">
        <v>72</v>
      </c>
      <c r="F39" s="23" t="s">
        <v>48</v>
      </c>
    </row>
    <row r="40" spans="1:6" x14ac:dyDescent="0.3">
      <c r="A40" s="1" t="s">
        <v>20</v>
      </c>
      <c r="B40" s="1" t="s">
        <v>18</v>
      </c>
      <c r="C40" s="1" t="s">
        <v>59</v>
      </c>
      <c r="D40" s="1">
        <v>1</v>
      </c>
      <c r="E40" s="3" t="s">
        <v>72</v>
      </c>
      <c r="F40" s="23" t="s">
        <v>48</v>
      </c>
    </row>
    <row r="41" spans="1:6" x14ac:dyDescent="0.3">
      <c r="A41" s="1" t="s">
        <v>20</v>
      </c>
      <c r="B41" s="1" t="s">
        <v>18</v>
      </c>
      <c r="C41" s="1" t="s">
        <v>19</v>
      </c>
      <c r="D41" s="1">
        <v>1</v>
      </c>
      <c r="E41" s="3" t="s">
        <v>72</v>
      </c>
      <c r="F41" s="23" t="s">
        <v>48</v>
      </c>
    </row>
    <row r="42" spans="1:6" x14ac:dyDescent="0.3">
      <c r="A42" s="1" t="s">
        <v>34</v>
      </c>
      <c r="B42" s="1" t="s">
        <v>18</v>
      </c>
      <c r="C42" s="1" t="s">
        <v>38</v>
      </c>
      <c r="D42" s="1">
        <v>2</v>
      </c>
      <c r="E42" s="3" t="s">
        <v>72</v>
      </c>
      <c r="F42" s="23" t="s">
        <v>48</v>
      </c>
    </row>
    <row r="43" spans="1:6" x14ac:dyDescent="0.3">
      <c r="A43" s="1" t="s">
        <v>34</v>
      </c>
      <c r="B43" s="1" t="s">
        <v>18</v>
      </c>
      <c r="C43" s="1" t="s">
        <v>41</v>
      </c>
      <c r="D43" s="1">
        <v>2</v>
      </c>
      <c r="E43" s="3" t="s">
        <v>72</v>
      </c>
      <c r="F43" s="23" t="s">
        <v>48</v>
      </c>
    </row>
    <row r="44" spans="1:6" x14ac:dyDescent="0.3">
      <c r="A44" s="2" t="s">
        <v>4</v>
      </c>
      <c r="B44" s="1" t="s">
        <v>8</v>
      </c>
      <c r="C44" s="2" t="s">
        <v>9</v>
      </c>
      <c r="D44" s="2">
        <v>1</v>
      </c>
      <c r="E44" s="3" t="s">
        <v>116</v>
      </c>
      <c r="F44" s="1" t="s">
        <v>16</v>
      </c>
    </row>
    <row r="45" spans="1:6" x14ac:dyDescent="0.3">
      <c r="A45" s="2" t="s">
        <v>4</v>
      </c>
      <c r="B45" s="1" t="s">
        <v>24</v>
      </c>
      <c r="C45" s="1" t="s">
        <v>5</v>
      </c>
      <c r="D45" s="1">
        <v>1</v>
      </c>
      <c r="E45" s="3" t="s">
        <v>117</v>
      </c>
      <c r="F45" s="1" t="s">
        <v>13</v>
      </c>
    </row>
    <row r="46" spans="1:6" x14ac:dyDescent="0.3">
      <c r="A46" s="1" t="s">
        <v>3</v>
      </c>
      <c r="B46" s="1" t="s">
        <v>99</v>
      </c>
      <c r="C46" s="1" t="s">
        <v>100</v>
      </c>
      <c r="D46" s="1">
        <v>2</v>
      </c>
      <c r="E46" s="3" t="s">
        <v>97</v>
      </c>
      <c r="F46" s="4" t="s">
        <v>98</v>
      </c>
    </row>
    <row r="47" spans="1:6" x14ac:dyDescent="0.3">
      <c r="A47" s="1" t="s">
        <v>42</v>
      </c>
      <c r="B47" s="1" t="s">
        <v>44</v>
      </c>
      <c r="C47" s="1" t="s">
        <v>45</v>
      </c>
      <c r="D47" s="1">
        <v>1</v>
      </c>
      <c r="E47" s="3" t="s">
        <v>76</v>
      </c>
      <c r="F47" s="1" t="s">
        <v>37</v>
      </c>
    </row>
    <row r="48" spans="1:6" x14ac:dyDescent="0.3">
      <c r="A48" s="1" t="s">
        <v>20</v>
      </c>
      <c r="B48" s="1" t="s">
        <v>21</v>
      </c>
      <c r="C48" s="1" t="s">
        <v>22</v>
      </c>
      <c r="D48" s="1">
        <v>1</v>
      </c>
      <c r="E48" s="3" t="s">
        <v>106</v>
      </c>
      <c r="F48" s="1" t="s">
        <v>12</v>
      </c>
    </row>
    <row r="49" spans="1:6" x14ac:dyDescent="0.3">
      <c r="A49" s="1" t="s">
        <v>61</v>
      </c>
      <c r="B49" s="1" t="s">
        <v>63</v>
      </c>
      <c r="C49" s="1" t="s">
        <v>64</v>
      </c>
      <c r="D49" s="1">
        <v>1</v>
      </c>
      <c r="E49" s="3" t="s">
        <v>78</v>
      </c>
      <c r="F49" s="1" t="s">
        <v>62</v>
      </c>
    </row>
    <row r="50" spans="1:6" x14ac:dyDescent="0.3">
      <c r="A50" s="1" t="s">
        <v>34</v>
      </c>
      <c r="B50" s="1" t="s">
        <v>39</v>
      </c>
      <c r="C50" s="1" t="s">
        <v>119</v>
      </c>
      <c r="D50" s="1">
        <v>1</v>
      </c>
      <c r="E50" s="3" t="s">
        <v>75</v>
      </c>
      <c r="F50" s="1" t="s">
        <v>40</v>
      </c>
    </row>
    <row r="51" spans="1:6" x14ac:dyDescent="0.3">
      <c r="A51" s="1" t="s">
        <v>34</v>
      </c>
      <c r="B51" s="1" t="s">
        <v>35</v>
      </c>
      <c r="C51" s="1" t="s">
        <v>36</v>
      </c>
      <c r="D51" s="1">
        <v>1</v>
      </c>
      <c r="E51" s="3" t="s">
        <v>107</v>
      </c>
      <c r="F51" s="1" t="s">
        <v>62</v>
      </c>
    </row>
  </sheetData>
  <mergeCells count="1">
    <mergeCell ref="A1:F1"/>
  </mergeCells>
  <phoneticPr fontId="2" type="noConversion"/>
  <hyperlinks>
    <hyperlink ref="E19" r:id="rId1" xr:uid="{FB145EB7-AB78-4F0E-8A2E-78E869696075}"/>
    <hyperlink ref="E23" r:id="rId2" xr:uid="{83BDC693-33B6-4754-B1EA-411C8D27D6B5}"/>
    <hyperlink ref="E44" r:id="rId3" xr:uid="{8E453664-7B2B-497D-8206-2A1984573724}"/>
    <hyperlink ref="E29" r:id="rId4" xr:uid="{167B521D-50A9-4D1A-8486-417643EE7C51}"/>
    <hyperlink ref="E39" r:id="rId5" xr:uid="{7AE7A171-BE46-4804-BDF2-FD4CD33C1B6C}"/>
    <hyperlink ref="E48" r:id="rId6" xr:uid="{342184EE-0B37-47A5-8BB3-CB2403D3DEA6}"/>
    <hyperlink ref="E4" r:id="rId7" xr:uid="{FC61C35B-4362-4D3F-8487-20B906B54327}"/>
    <hyperlink ref="E51" r:id="rId8" xr:uid="{C5A6FB1A-430D-4201-9E09-05C66D89DA19}"/>
    <hyperlink ref="E42" r:id="rId9" xr:uid="{0F51970E-4DFC-4E58-BA54-82F24C74B8BB}"/>
    <hyperlink ref="E50" r:id="rId10" xr:uid="{7DFFB49B-3992-42C4-92A1-9CC4FE32F30C}"/>
    <hyperlink ref="E43" r:id="rId11" xr:uid="{E66F6B0F-1D00-46C8-854D-9298843392FD}"/>
    <hyperlink ref="E47" r:id="rId12" xr:uid="{A58656B7-025C-4FD9-954F-02FE7FC23877}"/>
    <hyperlink ref="E13" r:id="rId13" xr:uid="{9E50BB37-7CB6-4CE1-A3A9-EA172CBC91CE}"/>
    <hyperlink ref="E14" r:id="rId14" xr:uid="{1ECE1A53-CFBF-4FDD-BF2A-811FC12896C2}"/>
    <hyperlink ref="E9" r:id="rId15" xr:uid="{DB4EE20C-6F79-42BA-ABF8-43D4175433EC}"/>
    <hyperlink ref="E11" r:id="rId16" xr:uid="{F3CB7800-F4F0-40F2-AB87-F0E2FD9E5E05}"/>
    <hyperlink ref="E5" r:id="rId17" xr:uid="{16F5A3B2-9D69-4306-90F6-A09D6B69D620}"/>
    <hyperlink ref="E30" r:id="rId18" xr:uid="{3E1B8AC3-E03F-4A38-88E5-42CAA18731CB}"/>
    <hyperlink ref="E31" r:id="rId19" xr:uid="{9B870751-4642-4299-9176-4A4735458A23}"/>
    <hyperlink ref="E24" r:id="rId20" xr:uid="{C8B56A4C-043E-4574-B888-A9BDFA51041C}"/>
    <hyperlink ref="E49" r:id="rId21" xr:uid="{CE970DD9-DF51-45FA-B9AC-DC60FD53C8AB}"/>
    <hyperlink ref="E15" r:id="rId22" xr:uid="{CA64AE78-66E8-4271-9B52-6795E6A7509C}"/>
    <hyperlink ref="E36" r:id="rId23" xr:uid="{99D0EB3E-C5F7-4D08-9838-B2BDC1CAE8D2}"/>
    <hyperlink ref="E27" r:id="rId24" xr:uid="{0731BE34-1FEA-4F8C-8A2E-D8EB63DFDA4D}"/>
    <hyperlink ref="E26" r:id="rId25" xr:uid="{9671F9E2-821C-4FF3-BFCE-6ABBF40177D4}"/>
    <hyperlink ref="E35" r:id="rId26" xr:uid="{364B96DA-8693-4EF8-8708-FD7C1E523E87}"/>
    <hyperlink ref="E34" r:id="rId27" xr:uid="{0A551911-19DA-436D-AA33-452B8309A658}"/>
    <hyperlink ref="E38" r:id="rId28" xr:uid="{AD9D7F3E-2B03-4BD6-BB37-D80A2538A5AA}"/>
    <hyperlink ref="E28" r:id="rId29" xr:uid="{CE07EF51-3F9B-4B59-AAA6-5D8B0315EED9}"/>
    <hyperlink ref="E37" r:id="rId30" xr:uid="{94E096C5-AC61-4743-A2A6-9C2887AFF7DD}"/>
    <hyperlink ref="E10" r:id="rId31" xr:uid="{3A227E09-2927-4063-888C-BF5C92C1566B}"/>
    <hyperlink ref="E12" r:id="rId32" xr:uid="{2B2D0CC5-9882-4603-9A04-4AC2B625373E}"/>
    <hyperlink ref="E40" r:id="rId33" xr:uid="{845E9E58-F540-40F5-B586-FD21876EBE47}"/>
    <hyperlink ref="E41" r:id="rId34" xr:uid="{684E6DB1-E6A0-4730-93B5-C52529968138}"/>
    <hyperlink ref="E25" r:id="rId35" xr:uid="{D9C5BD91-26B5-4E68-A1C7-CEE807888ECC}"/>
    <hyperlink ref="E46" r:id="rId36" xr:uid="{7536EDD6-AF8B-4F4F-94A4-086B718A070C}"/>
    <hyperlink ref="E18" r:id="rId37" xr:uid="{AECB4BEC-8F2A-4AC2-96BC-AF2B96F0B114}"/>
    <hyperlink ref="E22" r:id="rId38" xr:uid="{93913172-6FCC-485D-9592-0FB9AFEA963B}"/>
    <hyperlink ref="E7" r:id="rId39" xr:uid="{8D852D5D-3C1F-468F-A707-179D6D247935}"/>
    <hyperlink ref="E45" r:id="rId40" xr:uid="{5AB14A40-5F25-4E56-AD78-B5670635B3BE}"/>
    <hyperlink ref="E32" r:id="rId41" xr:uid="{E225F9A2-3195-4097-A096-E3AFF66C87A1}"/>
    <hyperlink ref="E33" r:id="rId42" xr:uid="{59F71F47-4104-4FD9-9DDE-6688AF6EBF9A}"/>
    <hyperlink ref="E3" r:id="rId43" xr:uid="{540B8D37-24B3-4E3F-BD7A-725603FBDD47}"/>
    <hyperlink ref="E8" r:id="rId44" xr:uid="{5EB5AA24-87A5-40CE-BB52-88F8933A517E}"/>
    <hyperlink ref="E20" r:id="rId45" xr:uid="{70BD350B-65E5-47D1-8DAC-38B935BDBA5A}"/>
    <hyperlink ref="E17" r:id="rId46" xr:uid="{7091F406-3827-475B-9868-3A7C5C396C72}"/>
    <hyperlink ref="E16" r:id="rId47" xr:uid="{95DA5CAC-C73F-4DC6-9E93-3EBEA11DAC55}"/>
    <hyperlink ref="E21" r:id="rId48" xr:uid="{40008DDA-D666-46C4-8FFF-3CAAC0455792}"/>
    <hyperlink ref="E6" r:id="rId49" xr:uid="{09969FC1-43B5-4870-9CE8-209C2C967EA7}"/>
  </hyperlinks>
  <pageMargins left="0.7" right="0.7" top="0.75" bottom="0.75" header="0.3" footer="0.3"/>
  <pageSetup paperSize="9" orientation="portrait" horizontalDpi="0" verticalDpi="0" r:id="rId50"/>
  <tableParts count="1">
    <tablePart r:id="rId5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1F1E-17BB-4A1A-8D39-226906E03F84}">
  <dimension ref="A1:K8"/>
  <sheetViews>
    <sheetView workbookViewId="0">
      <selection activeCell="J11" sqref="J11"/>
    </sheetView>
  </sheetViews>
  <sheetFormatPr baseColWidth="10" defaultRowHeight="14.4" x14ac:dyDescent="0.3"/>
  <cols>
    <col min="1" max="1" width="10.88671875" bestFit="1" customWidth="1"/>
    <col min="2" max="2" width="4" bestFit="1" customWidth="1"/>
    <col min="3" max="3" width="3.6640625" bestFit="1" customWidth="1"/>
    <col min="4" max="4" width="8.6640625" customWidth="1"/>
    <col min="5" max="5" width="5.5546875" bestFit="1" customWidth="1"/>
    <col min="7" max="7" width="11.6640625" bestFit="1" customWidth="1"/>
    <col min="8" max="8" width="5.77734375" customWidth="1"/>
    <col min="9" max="9" width="4.44140625" customWidth="1"/>
    <col min="10" max="10" width="7.21875" customWidth="1"/>
    <col min="11" max="11" width="2.5546875" customWidth="1"/>
  </cols>
  <sheetData>
    <row r="1" spans="1:11" ht="15" thickBot="1" x14ac:dyDescent="0.35">
      <c r="A1" s="24" t="s">
        <v>80</v>
      </c>
      <c r="B1" s="24"/>
      <c r="C1" s="24"/>
      <c r="D1" s="24"/>
      <c r="E1" s="24"/>
    </row>
    <row r="2" spans="1:11" ht="15" thickBot="1" x14ac:dyDescent="0.35">
      <c r="A2" s="11" t="s">
        <v>0</v>
      </c>
      <c r="B2" s="25" t="s">
        <v>81</v>
      </c>
      <c r="C2" s="25"/>
      <c r="D2" s="25" t="s">
        <v>82</v>
      </c>
      <c r="E2" s="39"/>
      <c r="H2" s="26" t="s">
        <v>93</v>
      </c>
      <c r="I2" s="27"/>
      <c r="J2" s="28" t="s">
        <v>94</v>
      </c>
      <c r="K2" s="27"/>
    </row>
    <row r="3" spans="1:11" ht="15" thickBot="1" x14ac:dyDescent="0.35">
      <c r="A3" s="10" t="s">
        <v>3</v>
      </c>
      <c r="B3" s="16">
        <v>397</v>
      </c>
      <c r="C3" s="18" t="s">
        <v>85</v>
      </c>
      <c r="D3" s="29" t="s">
        <v>87</v>
      </c>
      <c r="E3" s="32" t="s">
        <v>86</v>
      </c>
      <c r="G3" s="13" t="s">
        <v>91</v>
      </c>
      <c r="H3" s="14">
        <f>SUM(B3:B6)</f>
        <v>423</v>
      </c>
      <c r="I3" s="21" t="s">
        <v>85</v>
      </c>
      <c r="J3" s="15">
        <f>SUM(B3:B8)/1000</f>
        <v>0.51900000000000002</v>
      </c>
      <c r="K3" s="22" t="s">
        <v>89</v>
      </c>
    </row>
    <row r="4" spans="1:11" ht="15" thickBot="1" x14ac:dyDescent="0.35">
      <c r="A4" s="5" t="s">
        <v>83</v>
      </c>
      <c r="B4" s="6">
        <v>15</v>
      </c>
      <c r="C4" s="19" t="s">
        <v>85</v>
      </c>
      <c r="D4" s="30"/>
      <c r="E4" s="33"/>
      <c r="G4" s="12" t="s">
        <v>92</v>
      </c>
      <c r="H4" s="35">
        <f>H3/500</f>
        <v>0.84599999999999997</v>
      </c>
      <c r="I4" s="36"/>
      <c r="J4" s="37">
        <f>J3/1</f>
        <v>0.51900000000000002</v>
      </c>
      <c r="K4" s="38"/>
    </row>
    <row r="5" spans="1:11" x14ac:dyDescent="0.3">
      <c r="A5" s="5" t="s">
        <v>49</v>
      </c>
      <c r="B5" s="6">
        <v>10</v>
      </c>
      <c r="C5" s="19" t="s">
        <v>85</v>
      </c>
      <c r="D5" s="30"/>
      <c r="E5" s="33"/>
    </row>
    <row r="6" spans="1:11" x14ac:dyDescent="0.3">
      <c r="A6" s="5" t="s">
        <v>84</v>
      </c>
      <c r="B6" s="6">
        <v>1</v>
      </c>
      <c r="C6" s="19" t="s">
        <v>85</v>
      </c>
      <c r="D6" s="31"/>
      <c r="E6" s="33"/>
    </row>
    <row r="7" spans="1:11" x14ac:dyDescent="0.3">
      <c r="A7" s="7" t="s">
        <v>90</v>
      </c>
      <c r="B7" s="17">
        <v>6</v>
      </c>
      <c r="C7" s="20" t="s">
        <v>85</v>
      </c>
      <c r="D7" s="8"/>
      <c r="E7" s="34"/>
    </row>
    <row r="8" spans="1:11" x14ac:dyDescent="0.3">
      <c r="A8" s="7" t="s">
        <v>20</v>
      </c>
      <c r="B8" s="17">
        <v>90</v>
      </c>
      <c r="C8" s="20" t="s">
        <v>85</v>
      </c>
      <c r="D8" s="9"/>
      <c r="E8" s="34"/>
    </row>
  </sheetData>
  <mergeCells count="9">
    <mergeCell ref="B2:C2"/>
    <mergeCell ref="A1:E1"/>
    <mergeCell ref="H2:I2"/>
    <mergeCell ref="J2:K2"/>
    <mergeCell ref="D3:D6"/>
    <mergeCell ref="E3:E8"/>
    <mergeCell ref="H4:I4"/>
    <mergeCell ref="J4:K4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BoM</vt:lpstr>
      <vt:lpstr>Power_budget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Cerna Castillo</dc:creator>
  <cp:lastModifiedBy>Bruno Cerna Castillo</cp:lastModifiedBy>
  <dcterms:created xsi:type="dcterms:W3CDTF">2026-02-28T01:52:23Z</dcterms:created>
  <dcterms:modified xsi:type="dcterms:W3CDTF">2026-05-29T02:31:10Z</dcterms:modified>
</cp:coreProperties>
</file>